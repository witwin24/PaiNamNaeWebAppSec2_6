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Software Engineering\PaiNamNaeWebAppSec2_6\sprint backlog\"/>
    </mc:Choice>
  </mc:AlternateContent>
  <xr:revisionPtr revIDLastSave="0" documentId="13_ncr:1_{869B4A08-0261-4005-A252-220B1ADD871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8" i="1" l="1"/>
  <c r="X8" i="1"/>
  <c r="W8" i="1"/>
  <c r="V8" i="1"/>
  <c r="U8" i="1"/>
  <c r="T8" i="1"/>
  <c r="S8" i="1"/>
  <c r="S4" i="1"/>
  <c r="M30" i="1" l="1"/>
  <c r="L30" i="1"/>
  <c r="K30" i="1"/>
  <c r="J30" i="1"/>
  <c r="I30" i="1"/>
  <c r="H30" i="1"/>
  <c r="G30" i="1"/>
  <c r="F30" i="1"/>
  <c r="Y4" i="1"/>
  <c r="X4" i="1"/>
  <c r="W4" i="1"/>
  <c r="V4" i="1"/>
  <c r="U4" i="1"/>
  <c r="T4" i="1"/>
  <c r="N4" i="1"/>
</calcChain>
</file>

<file path=xl/sharedStrings.xml><?xml version="1.0" encoding="utf-8"?>
<sst xmlns="http://schemas.openxmlformats.org/spreadsheetml/2006/main" count="102" uniqueCount="55">
  <si>
    <t>SPRINT 2 BACKLOG</t>
  </si>
  <si>
    <t>Total Remaining Effort</t>
  </si>
  <si>
    <t>ID</t>
  </si>
  <si>
    <t>User Story</t>
  </si>
  <si>
    <t>Tasks</t>
  </si>
  <si>
    <t>Volunteer</t>
  </si>
  <si>
    <t>Status</t>
  </si>
  <si>
    <t>Estimated Effort</t>
  </si>
  <si>
    <t>Day 1</t>
  </si>
  <si>
    <t>Day 2</t>
  </si>
  <si>
    <t>Day 3</t>
  </si>
  <si>
    <t>Day 4</t>
  </si>
  <si>
    <t>Day 5</t>
  </si>
  <si>
    <t>Day 6</t>
  </si>
  <si>
    <t>Day 7</t>
  </si>
  <si>
    <t>Team velocity of sprint</t>
  </si>
  <si>
    <t>Day</t>
  </si>
  <si>
    <t>As an admin, I want a log that complies to the related law.</t>
  </si>
  <si>
    <t>ทำ A-DAPT Blueprint</t>
  </si>
  <si>
    <t>ทุกคน</t>
  </si>
  <si>
    <t>Completed</t>
  </si>
  <si>
    <t>ทำ UI</t>
  </si>
  <si>
    <t>วิธวินท์</t>
  </si>
  <si>
    <t>เปลี่ยน Schema ใน DataBase</t>
  </si>
  <si>
    <t>เบญจพล</t>
  </si>
  <si>
    <t>ระบบ Export ข้อมูลของ Traffic</t>
  </si>
  <si>
    <t>อดิเทพ</t>
  </si>
  <si>
    <t>Api ในการดึงข้อมูลจากตาราง TrafficLog โดยสามารถระบุช่วงเวลาหรือ user ได้</t>
  </si>
  <si>
    <t>API บันทึกประวัติการ Export ลงใน Export Log</t>
  </si>
  <si>
    <t>API ดึงข้อมูลประวัติการ Export จาก ExportLog</t>
  </si>
  <si>
    <t>เขียนฟังก์ชันการเขียนข้อมูลที่ Query มาจาก TrafficLog ลงบน csv</t>
  </si>
  <si>
    <t>เขียน UAT Testing</t>
  </si>
  <si>
    <t>วงศ์ปกรณ์</t>
  </si>
  <si>
    <t>เขียน API Testing</t>
  </si>
  <si>
    <t>เขียน Test Report ของ UAT Testing</t>
  </si>
  <si>
    <t>เขียน Test Report ของ API Testing</t>
  </si>
  <si>
    <t>As a user, I want my account and information to be removed from the system when I am no longer want to be apart of this community.</t>
  </si>
  <si>
    <t>เพิ่มเติม UI ในส่วนของการแจ้งเตือนการกรอกรหัสผ่านผิด</t>
  </si>
  <si>
    <t>เขียนฟังก์ชันในการตรวจสอบรหัสผ่านว่ากรอกรหัสผ่านถูกหรือไม่</t>
  </si>
  <si>
    <t xml:space="preserve">เขียนฟังก์ชันค้นหาและลบข้อมูลของ User ที่จะลบ </t>
  </si>
  <si>
    <t>พิรัชย์</t>
  </si>
  <si>
    <t>เขียน Backend ในส่วนของการ Anonymize ข้อมูลของ User</t>
  </si>
  <si>
    <t>แก้ไข Schema ของ Database</t>
  </si>
  <si>
    <t>เขียนฟังก์ชันการดึงข้อมูล User ที่จะลบเพื่อนำไปเขียนลงไฟล์</t>
  </si>
  <si>
    <t>กมลวรรณ</t>
  </si>
  <si>
    <t>เขียนฟังก์ชันการส่งอีเมลพร้อมเข้ารหัสไฟล์ข้อมูลเพื่อนำส่งสำเนาข้อมูลให้ User</t>
  </si>
  <si>
    <t>อัพเดต UAT Testing (Robotframework)</t>
  </si>
  <si>
    <t>อัพเดต API Testing</t>
  </si>
  <si>
    <t>อัพเดต Test Report ของ API Testing</t>
  </si>
  <si>
    <t>อัพเดต Test Report ของ UAT Testing</t>
  </si>
  <si>
    <t>อัพเดท User Manual</t>
  </si>
  <si>
    <t>อัพเดท Changelog</t>
  </si>
  <si>
    <t>total estimate</t>
  </si>
  <si>
    <t>Ideal Remaining Effort</t>
  </si>
  <si>
    <t>Sprint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</si>
</sst>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rgb="FF000000"/>
      <name val="Arial"/>
      <scheme val="minor"/>
    </font>
    <font>
      <sz val="11"/>
      <color theme="1"/>
      <name val="Arial"/>
    </font>
    <font>
      <sz val="10"/>
      <name val="Arial"/>
    </font>
    <font>
      <b/>
      <sz val="17"/>
      <color theme="1"/>
      <name val="Arial"/>
      <scheme val="minor"/>
    </font>
    <font>
      <b/>
      <sz val="10"/>
      <color theme="1"/>
      <name val="Arial"/>
      <scheme val="minor"/>
    </font>
    <font>
      <b/>
      <sz val="20"/>
      <color theme="1"/>
      <name val="Cordia New"/>
    </font>
    <font>
      <b/>
      <sz val="14"/>
      <color theme="1"/>
      <name val="Arial"/>
      <scheme val="minor"/>
    </font>
    <font>
      <sz val="20"/>
      <color theme="1"/>
      <name val="Cordia New"/>
    </font>
    <font>
      <sz val="10"/>
      <color theme="1"/>
      <name val="Arial"/>
      <scheme val="minor"/>
    </font>
    <font>
      <b/>
      <sz val="20"/>
      <color rgb="FF000000"/>
      <name val="Cordia New"/>
      <family val="2"/>
      <charset val="222"/>
    </font>
    <font>
      <sz val="20"/>
      <color rgb="FF000000"/>
      <name val="Cordia New"/>
      <family val="2"/>
      <charset val="222"/>
    </font>
    <font>
      <b/>
      <sz val="28"/>
      <color rgb="FF000000"/>
      <name val="Cordia New"/>
      <family val="2"/>
      <charset val="222"/>
    </font>
    <font>
      <b/>
      <sz val="20"/>
      <color theme="1"/>
      <name val="Cordia New"/>
      <family val="2"/>
      <charset val="222"/>
    </font>
  </fonts>
  <fills count="3">
    <fill>
      <patternFill patternType="none"/>
    </fill>
    <fill>
      <patternFill patternType="gray125"/>
    </fill>
    <fill>
      <patternFill patternType="solid">
        <fgColor rgb="FFFFE599"/>
        <bgColor rgb="FFFFE599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0" borderId="0" xfId="0" applyFont="1"/>
    <xf numFmtId="0" fontId="1" fillId="2" borderId="4" xfId="0" applyFont="1" applyFill="1" applyBorder="1" applyAlignment="1">
      <alignment horizontal="center" wrapText="1"/>
    </xf>
    <xf numFmtId="0" fontId="5" fillId="0" borderId="4" xfId="0" applyFont="1" applyBorder="1" applyAlignment="1">
      <alignment horizontal="center"/>
    </xf>
    <xf numFmtId="0" fontId="5" fillId="0" borderId="4" xfId="0" applyFont="1" applyBorder="1" applyAlignment="1">
      <alignment horizont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wrapText="1"/>
    </xf>
    <xf numFmtId="0" fontId="8" fillId="0" borderId="0" xfId="0" applyFont="1"/>
    <xf numFmtId="0" fontId="4" fillId="0" borderId="8" xfId="0" applyFont="1" applyBorder="1"/>
    <xf numFmtId="0" fontId="9" fillId="0" borderId="9" xfId="0" applyFont="1" applyBorder="1" applyAlignment="1">
      <alignment horizontal="center" wrapText="1"/>
    </xf>
    <xf numFmtId="0" fontId="9" fillId="0" borderId="11" xfId="0" applyFont="1" applyBorder="1" applyAlignment="1">
      <alignment horizontal="center" wrapText="1"/>
    </xf>
    <xf numFmtId="0" fontId="9" fillId="0" borderId="12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wrapText="1"/>
    </xf>
    <xf numFmtId="0" fontId="12" fillId="0" borderId="4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6" fillId="0" borderId="6" xfId="0" applyFont="1" applyBorder="1" applyAlignment="1">
      <alignment horizontal="center" vertical="center"/>
    </xf>
    <xf numFmtId="0" fontId="2" fillId="0" borderId="6" xfId="0" applyFont="1" applyBorder="1"/>
    <xf numFmtId="0" fontId="2" fillId="0" borderId="7" xfId="0" applyFont="1" applyBorder="1"/>
    <xf numFmtId="0" fontId="3" fillId="0" borderId="1" xfId="0" applyFont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11" fillId="0" borderId="13" xfId="0" applyFont="1" applyBorder="1" applyAlignment="1">
      <alignment horizontal="center" wrapText="1"/>
    </xf>
    <xf numFmtId="0" fontId="9" fillId="0" borderId="14" xfId="0" applyFont="1" applyBorder="1" applyAlignment="1">
      <alignment horizontal="center" wrapText="1"/>
    </xf>
    <xf numFmtId="0" fontId="9" fillId="0" borderId="15" xfId="0" applyFont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1" fillId="0" borderId="5" xfId="0" applyFont="1" applyBorder="1" applyAlignment="1">
      <alignment horizontal="center" vertical="center"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92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Burndown Chart - Sprint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92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>
        <c:manualLayout>
          <c:layoutTarget val="inner"/>
          <c:xMode val="edge"/>
          <c:yMode val="edge"/>
          <c:x val="5.9977447899148259E-2"/>
          <c:y val="0.12096219235136288"/>
          <c:w val="0.91100046918081889"/>
          <c:h val="0.64838714578435652"/>
        </c:manualLayout>
      </c:layout>
      <c:lineChart>
        <c:grouping val="standard"/>
        <c:varyColors val="0"/>
        <c:ser>
          <c:idx val="0"/>
          <c:order val="0"/>
          <c:tx>
            <c:strRef>
              <c:f>Sheet1!$R$2</c:f>
              <c:strCache>
                <c:ptCount val="1"/>
                <c:pt idx="0">
                  <c:v>Total Remaining Effort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val>
            <c:numRef>
              <c:f>Sheet1!$S$4:$Y$4</c:f>
              <c:numCache>
                <c:formatCode>General</c:formatCode>
                <c:ptCount val="7"/>
                <c:pt idx="0">
                  <c:v>67</c:v>
                </c:pt>
                <c:pt idx="1">
                  <c:v>52</c:v>
                </c:pt>
                <c:pt idx="2">
                  <c:v>40</c:v>
                </c:pt>
                <c:pt idx="3">
                  <c:v>41</c:v>
                </c:pt>
                <c:pt idx="4">
                  <c:v>36</c:v>
                </c:pt>
                <c:pt idx="5">
                  <c:v>30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1A7-4052-8D33-319D497C2CF0}"/>
            </c:ext>
          </c:extLst>
        </c:ser>
        <c:ser>
          <c:idx val="1"/>
          <c:order val="1"/>
          <c:tx>
            <c:strRef>
              <c:f>Sheet1!$R$6</c:f>
              <c:strCache>
                <c:ptCount val="1"/>
                <c:pt idx="0">
                  <c:v>Ideal Remaining Effort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val>
            <c:numRef>
              <c:f>Sheet1!$S$8:$Y$8</c:f>
              <c:numCache>
                <c:formatCode>General</c:formatCode>
                <c:ptCount val="7"/>
                <c:pt idx="0">
                  <c:v>63.428571428571431</c:v>
                </c:pt>
                <c:pt idx="1">
                  <c:v>52.857142857142861</c:v>
                </c:pt>
                <c:pt idx="2">
                  <c:v>42.285714285714285</c:v>
                </c:pt>
                <c:pt idx="3">
                  <c:v>31.714285714285715</c:v>
                </c:pt>
                <c:pt idx="4">
                  <c:v>21.142857142857146</c:v>
                </c:pt>
                <c:pt idx="5">
                  <c:v>10.571428571428569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A7-4052-8D33-319D497C2CF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829873704"/>
        <c:axId val="829874064"/>
      </c:lineChart>
      <c:catAx>
        <c:axId val="8298737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829874064"/>
        <c:crosses val="autoZero"/>
        <c:auto val="1"/>
        <c:lblAlgn val="ctr"/>
        <c:lblOffset val="100"/>
        <c:noMultiLvlLbl val="0"/>
      </c:catAx>
      <c:valAx>
        <c:axId val="829874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829873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99391</xdr:colOff>
      <xdr:row>8</xdr:row>
      <xdr:rowOff>828262</xdr:rowOff>
    </xdr:from>
    <xdr:to>
      <xdr:col>25</xdr:col>
      <xdr:colOff>121478</xdr:colOff>
      <xdr:row>14</xdr:row>
      <xdr:rowOff>828262</xdr:rowOff>
    </xdr:to>
    <xdr:graphicFrame macro="">
      <xdr:nvGraphicFramePr>
        <xdr:cNvPr id="2" name="แผนภูมิ 1">
          <a:extLst>
            <a:ext uri="{FF2B5EF4-FFF2-40B4-BE49-F238E27FC236}">
              <a16:creationId xmlns:a16="http://schemas.microsoft.com/office/drawing/2014/main" id="{BB5A9C48-C60B-452D-AE49-1347D50918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30"/>
  <sheetViews>
    <sheetView tabSelected="1" zoomScale="53" workbookViewId="0">
      <selection activeCell="D27" sqref="D27"/>
    </sheetView>
  </sheetViews>
  <sheetFormatPr defaultColWidth="12.6640625" defaultRowHeight="15.75" customHeight="1" x14ac:dyDescent="0.25"/>
  <cols>
    <col min="2" max="2" width="25.21875" customWidth="1"/>
    <col min="3" max="3" width="16.44140625" customWidth="1"/>
    <col min="4" max="4" width="16.109375" customWidth="1"/>
    <col min="5" max="5" width="15.6640625" customWidth="1"/>
    <col min="14" max="14" width="21.5546875" customWidth="1"/>
    <col min="19" max="25" width="15.109375" bestFit="1" customWidth="1"/>
  </cols>
  <sheetData>
    <row r="1" spans="1:25" ht="13.2" x14ac:dyDescent="0.25">
      <c r="A1" s="25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1"/>
    </row>
    <row r="2" spans="1:25" ht="21.6" x14ac:dyDescent="0.4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R2" s="19" t="s">
        <v>1</v>
      </c>
      <c r="S2" s="20"/>
      <c r="T2" s="20"/>
      <c r="U2" s="20"/>
      <c r="V2" s="20"/>
      <c r="W2" s="20"/>
      <c r="X2" s="20"/>
      <c r="Y2" s="21"/>
    </row>
    <row r="3" spans="1:25" ht="33.6" x14ac:dyDescent="0.7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1" t="s">
        <v>14</v>
      </c>
      <c r="N3" s="9" t="s">
        <v>15</v>
      </c>
      <c r="R3" s="4" t="s">
        <v>16</v>
      </c>
      <c r="S3" s="5">
        <v>1</v>
      </c>
      <c r="T3" s="5">
        <v>2</v>
      </c>
      <c r="U3" s="5">
        <v>3</v>
      </c>
      <c r="V3" s="5">
        <v>4</v>
      </c>
      <c r="W3" s="5">
        <v>5</v>
      </c>
      <c r="X3" s="5">
        <v>6</v>
      </c>
      <c r="Y3" s="5">
        <v>7</v>
      </c>
    </row>
    <row r="4" spans="1:25" ht="30" x14ac:dyDescent="0.85">
      <c r="A4" s="26">
        <v>1</v>
      </c>
      <c r="B4" s="26" t="s">
        <v>17</v>
      </c>
      <c r="C4" s="6" t="s">
        <v>18</v>
      </c>
      <c r="D4" s="7" t="s">
        <v>19</v>
      </c>
      <c r="E4" s="7" t="s">
        <v>20</v>
      </c>
      <c r="F4" s="7">
        <v>3</v>
      </c>
      <c r="G4" s="7">
        <v>0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16">
        <f>SUM(F4:F29)</f>
        <v>74</v>
      </c>
      <c r="R4" s="14" t="s">
        <v>54</v>
      </c>
      <c r="S4" s="15">
        <f>G30</f>
        <v>67</v>
      </c>
      <c r="T4" s="15">
        <f t="shared" ref="T4:Y4" si="0">H30</f>
        <v>52</v>
      </c>
      <c r="U4" s="15">
        <f t="shared" si="0"/>
        <v>40</v>
      </c>
      <c r="V4" s="15">
        <f t="shared" si="0"/>
        <v>41</v>
      </c>
      <c r="W4" s="15">
        <f t="shared" si="0"/>
        <v>36</v>
      </c>
      <c r="X4" s="15">
        <f t="shared" si="0"/>
        <v>30</v>
      </c>
      <c r="Y4" s="15">
        <f t="shared" si="0"/>
        <v>0</v>
      </c>
    </row>
    <row r="5" spans="1:25" ht="63.75" customHeight="1" thickBot="1" x14ac:dyDescent="0.3">
      <c r="A5" s="17"/>
      <c r="B5" s="17"/>
      <c r="C5" s="6" t="s">
        <v>21</v>
      </c>
      <c r="D5" s="7" t="s">
        <v>22</v>
      </c>
      <c r="E5" s="7" t="s">
        <v>20</v>
      </c>
      <c r="F5" s="7">
        <v>6</v>
      </c>
      <c r="G5" s="7">
        <v>6</v>
      </c>
      <c r="H5" s="7">
        <v>6</v>
      </c>
      <c r="I5" s="7">
        <v>6</v>
      </c>
      <c r="J5" s="7">
        <v>6</v>
      </c>
      <c r="K5" s="7">
        <v>6</v>
      </c>
      <c r="L5" s="7">
        <v>0</v>
      </c>
      <c r="M5" s="7">
        <v>0</v>
      </c>
      <c r="N5" s="17"/>
    </row>
    <row r="6" spans="1:25" ht="66" customHeight="1" thickBot="1" x14ac:dyDescent="1.1000000000000001">
      <c r="A6" s="17"/>
      <c r="B6" s="17"/>
      <c r="C6" s="6" t="s">
        <v>23</v>
      </c>
      <c r="D6" s="7" t="s">
        <v>24</v>
      </c>
      <c r="E6" s="7" t="s">
        <v>20</v>
      </c>
      <c r="F6" s="7">
        <v>1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17"/>
      <c r="R6" s="22" t="s">
        <v>53</v>
      </c>
      <c r="S6" s="23"/>
      <c r="T6" s="23"/>
      <c r="U6" s="23"/>
      <c r="V6" s="23"/>
      <c r="W6" s="23"/>
      <c r="X6" s="23"/>
      <c r="Y6" s="24"/>
    </row>
    <row r="7" spans="1:25" ht="53.25" customHeight="1" thickBot="1" x14ac:dyDescent="0.8">
      <c r="A7" s="17"/>
      <c r="B7" s="17"/>
      <c r="C7" s="6" t="s">
        <v>25</v>
      </c>
      <c r="D7" s="7" t="s">
        <v>26</v>
      </c>
      <c r="E7" s="7" t="s">
        <v>20</v>
      </c>
      <c r="F7" s="7">
        <v>5</v>
      </c>
      <c r="G7" s="7">
        <v>5</v>
      </c>
      <c r="H7" s="7">
        <v>5</v>
      </c>
      <c r="I7" s="7">
        <v>5</v>
      </c>
      <c r="J7" s="7">
        <v>5</v>
      </c>
      <c r="K7" s="7">
        <v>0</v>
      </c>
      <c r="L7" s="7">
        <v>0</v>
      </c>
      <c r="M7" s="7">
        <v>0</v>
      </c>
      <c r="N7" s="17"/>
      <c r="R7" s="11" t="s">
        <v>16</v>
      </c>
      <c r="S7" s="12">
        <v>1</v>
      </c>
      <c r="T7" s="12">
        <v>2</v>
      </c>
      <c r="U7" s="12">
        <v>3</v>
      </c>
      <c r="V7" s="12">
        <v>4</v>
      </c>
      <c r="W7" s="12">
        <v>5</v>
      </c>
      <c r="X7" s="12">
        <v>6</v>
      </c>
      <c r="Y7" s="12">
        <v>7</v>
      </c>
    </row>
    <row r="8" spans="1:25" ht="108" customHeight="1" thickBot="1" x14ac:dyDescent="0.9">
      <c r="A8" s="17"/>
      <c r="B8" s="17"/>
      <c r="C8" s="6" t="s">
        <v>27</v>
      </c>
      <c r="D8" s="7" t="s">
        <v>24</v>
      </c>
      <c r="E8" s="7" t="s">
        <v>20</v>
      </c>
      <c r="F8" s="7">
        <v>2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17"/>
      <c r="R8" s="10" t="s">
        <v>54</v>
      </c>
      <c r="S8" s="13">
        <f>N4-N4/7*1</f>
        <v>63.428571428571431</v>
      </c>
      <c r="T8" s="13">
        <f>N4-N4/7*2</f>
        <v>52.857142857142861</v>
      </c>
      <c r="U8" s="13">
        <f>N4-N4/7*3</f>
        <v>42.285714285714285</v>
      </c>
      <c r="V8" s="13">
        <f>N4-N4/7*4</f>
        <v>31.714285714285715</v>
      </c>
      <c r="W8" s="13">
        <f>N4-N4/7*5</f>
        <v>21.142857142857146</v>
      </c>
      <c r="X8" s="13">
        <f>N4-N4/7*6</f>
        <v>10.571428571428569</v>
      </c>
      <c r="Y8" s="13">
        <f>N4-N4/7*7</f>
        <v>0</v>
      </c>
    </row>
    <row r="9" spans="1:25" ht="69" customHeight="1" x14ac:dyDescent="0.25">
      <c r="A9" s="17"/>
      <c r="B9" s="17"/>
      <c r="C9" s="6" t="s">
        <v>28</v>
      </c>
      <c r="D9" s="7" t="s">
        <v>24</v>
      </c>
      <c r="E9" s="7" t="s">
        <v>20</v>
      </c>
      <c r="F9" s="7">
        <v>2</v>
      </c>
      <c r="G9" s="7">
        <v>2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17"/>
    </row>
    <row r="10" spans="1:25" ht="83.25" customHeight="1" x14ac:dyDescent="0.25">
      <c r="A10" s="17"/>
      <c r="B10" s="17"/>
      <c r="C10" s="6" t="s">
        <v>29</v>
      </c>
      <c r="D10" s="7" t="s">
        <v>24</v>
      </c>
      <c r="E10" s="7" t="s">
        <v>20</v>
      </c>
      <c r="F10" s="7">
        <v>2</v>
      </c>
      <c r="G10" s="7">
        <v>2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17"/>
    </row>
    <row r="11" spans="1:25" ht="78.75" customHeight="1" x14ac:dyDescent="0.25">
      <c r="A11" s="17"/>
      <c r="B11" s="17"/>
      <c r="C11" s="6" t="s">
        <v>30</v>
      </c>
      <c r="D11" s="7" t="s">
        <v>26</v>
      </c>
      <c r="E11" s="7" t="s">
        <v>20</v>
      </c>
      <c r="F11" s="7">
        <v>3</v>
      </c>
      <c r="G11" s="7">
        <v>3</v>
      </c>
      <c r="H11" s="7">
        <v>3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17"/>
    </row>
    <row r="12" spans="1:25" ht="53.25" customHeight="1" x14ac:dyDescent="0.25">
      <c r="A12" s="17"/>
      <c r="B12" s="17"/>
      <c r="C12" s="6" t="s">
        <v>31</v>
      </c>
      <c r="D12" s="7" t="s">
        <v>32</v>
      </c>
      <c r="E12" s="7" t="s">
        <v>20</v>
      </c>
      <c r="F12" s="7">
        <v>5</v>
      </c>
      <c r="G12" s="7">
        <v>5</v>
      </c>
      <c r="H12" s="7">
        <v>5</v>
      </c>
      <c r="I12" s="7">
        <v>5</v>
      </c>
      <c r="J12" s="7">
        <v>5</v>
      </c>
      <c r="K12" s="7">
        <v>5</v>
      </c>
      <c r="L12" s="7">
        <v>5</v>
      </c>
      <c r="M12" s="7">
        <v>0</v>
      </c>
      <c r="N12" s="17"/>
    </row>
    <row r="13" spans="1:25" ht="53.25" customHeight="1" x14ac:dyDescent="0.25">
      <c r="A13" s="17"/>
      <c r="B13" s="17"/>
      <c r="C13" s="6" t="s">
        <v>33</v>
      </c>
      <c r="D13" s="7" t="s">
        <v>22</v>
      </c>
      <c r="E13" s="7" t="s">
        <v>20</v>
      </c>
      <c r="F13" s="7">
        <v>2</v>
      </c>
      <c r="G13" s="7">
        <v>2</v>
      </c>
      <c r="H13" s="7">
        <v>2</v>
      </c>
      <c r="I13" s="7">
        <v>2</v>
      </c>
      <c r="J13" s="7">
        <v>2</v>
      </c>
      <c r="K13" s="7">
        <v>2</v>
      </c>
      <c r="L13" s="7">
        <v>2</v>
      </c>
      <c r="M13" s="7">
        <v>0</v>
      </c>
      <c r="N13" s="17"/>
    </row>
    <row r="14" spans="1:25" ht="53.25" customHeight="1" x14ac:dyDescent="0.25">
      <c r="A14" s="17"/>
      <c r="B14" s="17"/>
      <c r="C14" s="6" t="s">
        <v>34</v>
      </c>
      <c r="D14" s="7" t="s">
        <v>32</v>
      </c>
      <c r="E14" s="7" t="s">
        <v>20</v>
      </c>
      <c r="F14" s="7"/>
      <c r="G14" s="7"/>
      <c r="H14" s="7"/>
      <c r="I14" s="7"/>
      <c r="J14" s="7"/>
      <c r="K14" s="7"/>
      <c r="L14" s="7"/>
      <c r="M14" s="7"/>
      <c r="N14" s="17"/>
    </row>
    <row r="15" spans="1:25" ht="99.75" customHeight="1" x14ac:dyDescent="0.25">
      <c r="A15" s="18"/>
      <c r="B15" s="18"/>
      <c r="C15" s="6" t="s">
        <v>35</v>
      </c>
      <c r="D15" s="7" t="s">
        <v>22</v>
      </c>
      <c r="E15" s="7" t="s">
        <v>20</v>
      </c>
      <c r="F15" s="7">
        <v>1</v>
      </c>
      <c r="G15" s="7">
        <v>1</v>
      </c>
      <c r="H15" s="7">
        <v>1</v>
      </c>
      <c r="I15" s="7">
        <v>1</v>
      </c>
      <c r="J15" s="7">
        <v>1</v>
      </c>
      <c r="K15" s="7">
        <v>1</v>
      </c>
      <c r="L15" s="7">
        <v>1</v>
      </c>
      <c r="M15" s="7">
        <v>0</v>
      </c>
      <c r="N15" s="17"/>
    </row>
    <row r="16" spans="1:25" ht="69" customHeight="1" x14ac:dyDescent="0.25">
      <c r="A16" s="26">
        <v>16</v>
      </c>
      <c r="B16" s="26" t="s">
        <v>36</v>
      </c>
      <c r="C16" s="6" t="s">
        <v>18</v>
      </c>
      <c r="D16" s="7" t="s">
        <v>19</v>
      </c>
      <c r="E16" s="7" t="s">
        <v>20</v>
      </c>
      <c r="F16" s="7">
        <v>3</v>
      </c>
      <c r="G16" s="7">
        <v>3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17"/>
    </row>
    <row r="17" spans="1:14" ht="68.25" customHeight="1" x14ac:dyDescent="0.25">
      <c r="A17" s="17"/>
      <c r="B17" s="17"/>
      <c r="C17" s="6" t="s">
        <v>37</v>
      </c>
      <c r="D17" s="7" t="s">
        <v>26</v>
      </c>
      <c r="E17" s="7" t="s">
        <v>20</v>
      </c>
      <c r="F17" s="7">
        <v>2</v>
      </c>
      <c r="G17" s="7">
        <v>2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17"/>
    </row>
    <row r="18" spans="1:14" ht="75" customHeight="1" x14ac:dyDescent="0.25">
      <c r="A18" s="17"/>
      <c r="B18" s="17"/>
      <c r="C18" s="6" t="s">
        <v>38</v>
      </c>
      <c r="D18" s="7" t="s">
        <v>26</v>
      </c>
      <c r="E18" s="7" t="s">
        <v>20</v>
      </c>
      <c r="F18" s="7">
        <v>3</v>
      </c>
      <c r="G18" s="7">
        <v>3</v>
      </c>
      <c r="H18" s="7">
        <v>3</v>
      </c>
      <c r="I18" s="7">
        <v>3</v>
      </c>
      <c r="J18" s="7">
        <v>0</v>
      </c>
      <c r="K18" s="7">
        <v>0</v>
      </c>
      <c r="L18" s="7">
        <v>0</v>
      </c>
      <c r="M18" s="7">
        <v>0</v>
      </c>
      <c r="N18" s="17"/>
    </row>
    <row r="19" spans="1:14" ht="75" customHeight="1" x14ac:dyDescent="0.25">
      <c r="A19" s="17"/>
      <c r="B19" s="17"/>
      <c r="C19" s="6" t="s">
        <v>39</v>
      </c>
      <c r="D19" s="7" t="s">
        <v>40</v>
      </c>
      <c r="E19" s="7" t="s">
        <v>20</v>
      </c>
      <c r="F19" s="7">
        <v>2</v>
      </c>
      <c r="G19" s="7">
        <v>2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17"/>
    </row>
    <row r="20" spans="1:14" ht="55.2" x14ac:dyDescent="0.25">
      <c r="A20" s="17"/>
      <c r="B20" s="17"/>
      <c r="C20" s="6" t="s">
        <v>41</v>
      </c>
      <c r="D20" s="6" t="s">
        <v>40</v>
      </c>
      <c r="E20" s="7" t="s">
        <v>20</v>
      </c>
      <c r="F20" s="7">
        <v>4</v>
      </c>
      <c r="G20" s="7">
        <v>4</v>
      </c>
      <c r="H20" s="7">
        <v>4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17"/>
    </row>
    <row r="21" spans="1:14" ht="27.6" x14ac:dyDescent="0.25">
      <c r="A21" s="17"/>
      <c r="B21" s="17"/>
      <c r="C21" s="6" t="s">
        <v>42</v>
      </c>
      <c r="D21" s="7" t="s">
        <v>24</v>
      </c>
      <c r="E21" s="7" t="s">
        <v>20</v>
      </c>
      <c r="F21" s="7">
        <v>1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17"/>
    </row>
    <row r="22" spans="1:14" ht="55.2" x14ac:dyDescent="0.25">
      <c r="A22" s="17"/>
      <c r="B22" s="17"/>
      <c r="C22" s="6" t="s">
        <v>43</v>
      </c>
      <c r="D22" s="7" t="s">
        <v>44</v>
      </c>
      <c r="E22" s="7" t="s">
        <v>20</v>
      </c>
      <c r="F22" s="7">
        <v>6</v>
      </c>
      <c r="G22" s="7">
        <v>6</v>
      </c>
      <c r="H22" s="7">
        <v>6</v>
      </c>
      <c r="I22" s="7">
        <v>6</v>
      </c>
      <c r="J22" s="7">
        <v>6</v>
      </c>
      <c r="K22" s="7">
        <v>6</v>
      </c>
      <c r="L22" s="7">
        <v>6</v>
      </c>
      <c r="M22" s="7">
        <v>0</v>
      </c>
      <c r="N22" s="17"/>
    </row>
    <row r="23" spans="1:14" ht="82.8" x14ac:dyDescent="0.25">
      <c r="A23" s="17"/>
      <c r="B23" s="17"/>
      <c r="C23" s="6" t="s">
        <v>45</v>
      </c>
      <c r="D23" s="7" t="s">
        <v>44</v>
      </c>
      <c r="E23" s="7" t="s">
        <v>20</v>
      </c>
      <c r="F23" s="7">
        <v>6</v>
      </c>
      <c r="G23" s="7">
        <v>6</v>
      </c>
      <c r="H23" s="7">
        <v>6</v>
      </c>
      <c r="I23" s="7">
        <v>6</v>
      </c>
      <c r="J23" s="7">
        <v>6</v>
      </c>
      <c r="K23" s="7">
        <v>6</v>
      </c>
      <c r="L23" s="7">
        <v>6</v>
      </c>
      <c r="M23" s="7">
        <v>0</v>
      </c>
      <c r="N23" s="17"/>
    </row>
    <row r="24" spans="1:14" ht="72" customHeight="1" x14ac:dyDescent="0.25">
      <c r="A24" s="17"/>
      <c r="B24" s="17"/>
      <c r="C24" s="6" t="s">
        <v>46</v>
      </c>
      <c r="D24" s="7" t="s">
        <v>32</v>
      </c>
      <c r="E24" s="7" t="s">
        <v>20</v>
      </c>
      <c r="F24" s="7">
        <v>5</v>
      </c>
      <c r="G24" s="7">
        <v>5</v>
      </c>
      <c r="H24" s="7">
        <v>5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17"/>
    </row>
    <row r="25" spans="1:14" ht="75" customHeight="1" x14ac:dyDescent="0.25">
      <c r="A25" s="17"/>
      <c r="B25" s="17"/>
      <c r="C25" s="6" t="s">
        <v>47</v>
      </c>
      <c r="D25" s="7" t="s">
        <v>22</v>
      </c>
      <c r="E25" s="7" t="s">
        <v>20</v>
      </c>
      <c r="F25" s="7">
        <v>1</v>
      </c>
      <c r="G25" s="7">
        <v>1</v>
      </c>
      <c r="H25" s="7">
        <v>1</v>
      </c>
      <c r="I25" s="7">
        <v>1</v>
      </c>
      <c r="J25" s="7">
        <v>1</v>
      </c>
      <c r="K25" s="7">
        <v>1</v>
      </c>
      <c r="L25" s="7">
        <v>1</v>
      </c>
      <c r="M25" s="7">
        <v>0</v>
      </c>
      <c r="N25" s="17"/>
    </row>
    <row r="26" spans="1:14" ht="75" customHeight="1" x14ac:dyDescent="0.25">
      <c r="A26" s="17"/>
      <c r="B26" s="17"/>
      <c r="C26" s="6" t="s">
        <v>48</v>
      </c>
      <c r="D26" s="7" t="s">
        <v>22</v>
      </c>
      <c r="E26" s="7" t="s">
        <v>20</v>
      </c>
      <c r="F26" s="7">
        <v>1</v>
      </c>
      <c r="G26" s="7">
        <v>1</v>
      </c>
      <c r="H26" s="7">
        <v>1</v>
      </c>
      <c r="I26" s="7">
        <v>1</v>
      </c>
      <c r="J26" s="7">
        <v>1</v>
      </c>
      <c r="K26" s="7">
        <v>1</v>
      </c>
      <c r="L26" s="7">
        <v>1</v>
      </c>
      <c r="M26" s="7">
        <v>0</v>
      </c>
      <c r="N26" s="17"/>
    </row>
    <row r="27" spans="1:14" ht="75" customHeight="1" x14ac:dyDescent="0.25">
      <c r="A27" s="17"/>
      <c r="B27" s="17"/>
      <c r="C27" s="6" t="s">
        <v>49</v>
      </c>
      <c r="D27" s="7" t="s">
        <v>32</v>
      </c>
      <c r="E27" s="7" t="s">
        <v>20</v>
      </c>
      <c r="F27" s="7">
        <v>4</v>
      </c>
      <c r="G27" s="7">
        <v>4</v>
      </c>
      <c r="H27" s="7"/>
      <c r="I27" s="7"/>
      <c r="J27" s="7">
        <v>4</v>
      </c>
      <c r="K27" s="7">
        <v>4</v>
      </c>
      <c r="L27" s="7">
        <v>4</v>
      </c>
      <c r="M27" s="7">
        <v>0</v>
      </c>
      <c r="N27" s="17"/>
    </row>
    <row r="28" spans="1:14" ht="75" customHeight="1" x14ac:dyDescent="0.25">
      <c r="A28" s="17"/>
      <c r="B28" s="17"/>
      <c r="C28" s="6" t="s">
        <v>50</v>
      </c>
      <c r="D28" s="7" t="s">
        <v>40</v>
      </c>
      <c r="E28" s="7" t="s">
        <v>20</v>
      </c>
      <c r="F28" s="7">
        <v>2</v>
      </c>
      <c r="G28" s="7">
        <v>2</v>
      </c>
      <c r="H28" s="7">
        <v>2</v>
      </c>
      <c r="I28" s="7">
        <v>2</v>
      </c>
      <c r="J28" s="7">
        <v>2</v>
      </c>
      <c r="K28" s="7">
        <v>2</v>
      </c>
      <c r="L28" s="7">
        <v>2</v>
      </c>
      <c r="M28" s="7">
        <v>0</v>
      </c>
      <c r="N28" s="17"/>
    </row>
    <row r="29" spans="1:14" ht="75" customHeight="1" x14ac:dyDescent="0.25">
      <c r="A29" s="18"/>
      <c r="B29" s="18"/>
      <c r="C29" s="6" t="s">
        <v>51</v>
      </c>
      <c r="D29" s="7" t="s">
        <v>19</v>
      </c>
      <c r="E29" s="7" t="s">
        <v>20</v>
      </c>
      <c r="F29" s="7">
        <v>2</v>
      </c>
      <c r="G29" s="7">
        <v>2</v>
      </c>
      <c r="H29" s="7">
        <v>2</v>
      </c>
      <c r="I29" s="7">
        <v>2</v>
      </c>
      <c r="J29" s="7">
        <v>2</v>
      </c>
      <c r="K29" s="7">
        <v>2</v>
      </c>
      <c r="L29" s="7">
        <v>2</v>
      </c>
      <c r="M29" s="7">
        <v>0</v>
      </c>
      <c r="N29" s="18"/>
    </row>
    <row r="30" spans="1:14" ht="13.2" x14ac:dyDescent="0.25">
      <c r="E30" s="8" t="s">
        <v>52</v>
      </c>
      <c r="F30" s="8">
        <f t="shared" ref="F30:M30" si="1">SUM(F4:F29)</f>
        <v>74</v>
      </c>
      <c r="G30" s="8">
        <f t="shared" si="1"/>
        <v>67</v>
      </c>
      <c r="H30" s="8">
        <f t="shared" si="1"/>
        <v>52</v>
      </c>
      <c r="I30" s="8">
        <f t="shared" si="1"/>
        <v>40</v>
      </c>
      <c r="J30" s="8">
        <f t="shared" si="1"/>
        <v>41</v>
      </c>
      <c r="K30" s="8">
        <f t="shared" si="1"/>
        <v>36</v>
      </c>
      <c r="L30" s="8">
        <f t="shared" si="1"/>
        <v>30</v>
      </c>
      <c r="M30" s="8">
        <f t="shared" si="1"/>
        <v>0</v>
      </c>
    </row>
  </sheetData>
  <mergeCells count="8">
    <mergeCell ref="N4:N29"/>
    <mergeCell ref="R2:Y2"/>
    <mergeCell ref="R6:Y6"/>
    <mergeCell ref="A1:M1"/>
    <mergeCell ref="A16:A29"/>
    <mergeCell ref="B16:B29"/>
    <mergeCell ref="A4:A15"/>
    <mergeCell ref="B4:B15"/>
  </mergeCells>
  <dataValidations count="2">
    <dataValidation type="list" allowBlank="1" showErrorMessage="1" sqref="D4:D29" xr:uid="{00000000-0002-0000-0000-000000000000}">
      <formula1>"ทุกคน,วิธวินท์,เบญจพล,วงศ์ปกรณ์,อดิเทพ,พิรัชย์,กมลวรรณ"</formula1>
    </dataValidation>
    <dataValidation type="list" allowBlank="1" showErrorMessage="1" sqref="E4:E29" xr:uid="{00000000-0002-0000-0000-000002000000}">
      <formula1>"Completed,In-progress"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witthawin bunsamorn</cp:lastModifiedBy>
  <dcterms:created xsi:type="dcterms:W3CDTF">2026-03-03T15:45:01Z</dcterms:created>
  <dcterms:modified xsi:type="dcterms:W3CDTF">2026-03-03T16:45:28Z</dcterms:modified>
</cp:coreProperties>
</file>