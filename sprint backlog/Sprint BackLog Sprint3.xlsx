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<sst xmlns="http://schemas.openxmlformats.org/spreadsheetml/2006/main" count="77" uniqueCount="47">
  <si>
    <t>SPRINT 3 BACKLOG</t>
  </si>
  <si>
    <t>ID</t>
  </si>
  <si>
    <t>User Story</t>
  </si>
  <si>
    <t>Tasks</t>
  </si>
  <si>
    <t>Volunteer</t>
  </si>
  <si>
    <t>Status</t>
  </si>
  <si>
    <t>Estimated Effort</t>
  </si>
  <si>
    <t>Day 1</t>
  </si>
  <si>
    <t>Day 2</t>
  </si>
  <si>
    <t>Day 3</t>
  </si>
  <si>
    <t>Day 4</t>
  </si>
  <si>
    <t>Day 5</t>
  </si>
  <si>
    <t>Day 6</t>
  </si>
  <si>
    <t>Day 7</t>
  </si>
  <si>
    <t>Actual Time</t>
  </si>
  <si>
    <t>Team velocity of sprint</t>
  </si>
  <si>
    <t>As an admin, I want a log that complies to the related law.</t>
  </si>
  <si>
    <t>ทำ A-DAPT Blueprint</t>
  </si>
  <si>
    <t>ทุกคน</t>
  </si>
  <si>
    <t>Completed</t>
  </si>
  <si>
    <t>Sprint 3</t>
  </si>
  <si>
    <t>ทำ UI การยืนยันรหัสผ่านของแอดมิน</t>
  </si>
  <si>
    <t>อดิเทพ</t>
  </si>
  <si>
    <t>Day</t>
  </si>
  <si>
    <t>มีการระบุ Hash ของไฟล์ในการ Export Log และสามารถเปรียบเทียบ Hash ได้หลังจากดาวน์โหลดไฟล์</t>
  </si>
  <si>
    <t>Total Remaining Effort</t>
  </si>
  <si>
    <t>เขียน Logic ยืนยันรหัสผ่านของแอดมินในการ Export Log</t>
  </si>
  <si>
    <t>เบญจพล</t>
  </si>
  <si>
    <t xml:space="preserve">Ideal Remaining Effort </t>
  </si>
  <si>
    <t>อัพเดต UAT Testing</t>
  </si>
  <si>
    <t>วงศ์ปกรณ์</t>
  </si>
  <si>
    <t>เขียน Test Report ของ UAT Testing</t>
  </si>
  <si>
    <t>อัพเดต API Testing</t>
  </si>
  <si>
    <t>วิธวินท์</t>
  </si>
  <si>
    <t>เขียน Test Report ของ API Testing</t>
  </si>
  <si>
    <t>กมลวรรณ</t>
  </si>
  <si>
    <t>อัพเดท User Manual</t>
  </si>
  <si>
    <t>อัพเดท Changelog</t>
  </si>
  <si>
    <t>As a user, I want my account and information to be removed from the system when I am no longer want to be apart of this community.</t>
  </si>
  <si>
    <t>UI สำหรับผู้ใช้เลือกข้อมูลที่ต้องการรับ</t>
  </si>
  <si>
    <t>แก้ไขฟังก์ชันการส่งอีเมลข้อมูลเพื่อนำส่งสำเนาข้อมูลให้ User
ตามที่ผู้ใช้ต้องการรับข้อมูล</t>
  </si>
  <si>
    <t>พิรัชย์, วิธวินท์</t>
  </si>
  <si>
    <t>อัพเดต UAT Testing (Robotframework)</t>
  </si>
  <si>
    <t>อัพเดต Test Report ของ UAT Testing</t>
  </si>
  <si>
    <t>พิรัชย์</t>
  </si>
  <si>
    <t>วงศ์ปกรณ์, พิรัชย์, วิธวินท์</t>
  </si>
  <si>
    <t>total estimate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</si>
</sst>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1.0"/>
      <color theme="1"/>
      <name val="Arial"/>
    </font>
    <font/>
    <font>
      <b/>
      <color rgb="FF000000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b/>
      <sz val="17.0"/>
      <color theme="1"/>
      <name val="Arial"/>
      <scheme val="minor"/>
    </font>
    <font>
      <b/>
      <sz val="20.0"/>
      <color theme="1"/>
      <name val="Cordia New"/>
    </font>
    <font>
      <sz val="20.0"/>
      <color theme="1"/>
      <name val="Cordia New"/>
    </font>
    <font>
      <b/>
      <sz val="16.0"/>
      <color theme="1"/>
      <name val="Arial"/>
      <scheme val="minor"/>
    </font>
    <font>
      <b/>
      <sz val="14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0" fontId="1" numFmtId="0" xfId="0" applyFont="1"/>
    <xf borderId="4" fillId="2" fontId="1" numFmtId="0" xfId="0" applyAlignment="1" applyBorder="1" applyFont="1">
      <alignment horizontal="center" shrinkToFit="0" wrapText="1"/>
    </xf>
    <xf borderId="0" fillId="3" fontId="3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5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wrapText="1"/>
    </xf>
    <xf borderId="4" fillId="0" fontId="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/>
    </xf>
    <xf borderId="6" fillId="0" fontId="2" numFmtId="0" xfId="0" applyBorder="1" applyFont="1"/>
    <xf borderId="4" fillId="0" fontId="7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readingOrder="0" vertical="bottom"/>
    </xf>
    <xf borderId="4" fillId="0" fontId="8" numFmtId="0" xfId="0" applyAlignment="1" applyBorder="1" applyFont="1">
      <alignment horizontal="right" vertical="bottom"/>
    </xf>
    <xf borderId="4" fillId="0" fontId="9" numFmtId="0" xfId="0" applyAlignment="1" applyBorder="1" applyFont="1">
      <alignment readingOrder="0"/>
    </xf>
    <xf borderId="7" fillId="0" fontId="2" numFmtId="0" xfId="0" applyBorder="1" applyFont="1"/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center" shrinkToFit="0" vertical="bottom" wrapText="1"/>
    </xf>
    <xf borderId="4" fillId="0" fontId="10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 shrinkToFit="0" wrapText="1"/>
    </xf>
    <xf borderId="0" fillId="0" fontId="11" numFmtId="0" xfId="0" applyAlignment="1" applyFont="1">
      <alignment horizontal="center" readingOrder="0"/>
    </xf>
    <xf borderId="0" fillId="0" fontId="11" numFmtId="0" xfId="0" applyAlignment="1" applyFont="1">
      <alignment readingOrder="0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Burndown Chart Sprint 3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Sheet1!$S$6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Sheet1!$T$5:$Z$5</c:f>
            </c:strRef>
          </c:cat>
          <c:val>
            <c:numRef>
              <c:f>Sheet1!$T$6:$Z$6</c:f>
              <c:numCache/>
            </c:numRef>
          </c:val>
          <c:smooth val="0"/>
        </c:ser>
        <c:ser>
          <c:idx val="1"/>
          <c:order val="1"/>
          <c:tx>
            <c:strRef>
              <c:f>Sheet1!$S$7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Sheet1!$T$5:$Z$5</c:f>
            </c:strRef>
          </c:cat>
          <c:val>
            <c:numRef>
              <c:f>Sheet1!$T$7:$Z$7</c:f>
              <c:numCache/>
            </c:numRef>
          </c:val>
          <c:smooth val="0"/>
        </c:ser>
        <c:axId val="715296126"/>
        <c:axId val="1649747683"/>
      </c:lineChart>
      <c:catAx>
        <c:axId val="7152961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9747683"/>
      </c:catAx>
      <c:valAx>
        <c:axId val="16497476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52961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95250</xdr:colOff>
      <xdr:row>8</xdr:row>
      <xdr:rowOff>342900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6.5"/>
    <col customWidth="1" min="4" max="4" width="16.13"/>
    <col customWidth="1" min="5" max="5" width="15.63"/>
    <col customWidth="1" min="14" max="15" width="19.0"/>
    <col customWidth="1" min="19" max="19" width="34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6" t="s">
        <v>14</v>
      </c>
      <c r="O3" s="7" t="s">
        <v>15</v>
      </c>
    </row>
    <row r="4">
      <c r="A4" s="8">
        <v>1.0</v>
      </c>
      <c r="B4" s="8" t="s">
        <v>16</v>
      </c>
      <c r="C4" s="9" t="s">
        <v>17</v>
      </c>
      <c r="D4" s="10" t="s">
        <v>18</v>
      </c>
      <c r="E4" s="10" t="s">
        <v>19</v>
      </c>
      <c r="F4" s="10">
        <v>1.0</v>
      </c>
      <c r="G4" s="10">
        <v>1.0</v>
      </c>
      <c r="H4" s="10">
        <v>0.0</v>
      </c>
      <c r="I4" s="10">
        <v>0.0</v>
      </c>
      <c r="J4" s="10">
        <v>0.0</v>
      </c>
      <c r="K4" s="10">
        <v>0.0</v>
      </c>
      <c r="L4" s="10">
        <v>0.0</v>
      </c>
      <c r="M4" s="10">
        <v>0.0</v>
      </c>
      <c r="N4" s="11">
        <v>1.0</v>
      </c>
      <c r="O4" s="12">
        <f>SUM(F4:F21)</f>
        <v>39</v>
      </c>
      <c r="S4" s="13" t="s">
        <v>20</v>
      </c>
      <c r="T4" s="2"/>
      <c r="U4" s="2"/>
      <c r="V4" s="2"/>
      <c r="W4" s="2"/>
      <c r="X4" s="2"/>
      <c r="Y4" s="2"/>
      <c r="Z4" s="3"/>
    </row>
    <row r="5" ht="63.75" customHeight="1">
      <c r="A5" s="14"/>
      <c r="B5" s="14"/>
      <c r="C5" s="9" t="s">
        <v>21</v>
      </c>
      <c r="D5" s="10" t="s">
        <v>22</v>
      </c>
      <c r="E5" s="10" t="s">
        <v>19</v>
      </c>
      <c r="F5" s="10">
        <v>1.0</v>
      </c>
      <c r="G5" s="10">
        <v>1.0</v>
      </c>
      <c r="H5" s="10">
        <v>0.0</v>
      </c>
      <c r="I5" s="10">
        <v>0.0</v>
      </c>
      <c r="J5" s="10">
        <v>0.0</v>
      </c>
      <c r="K5" s="10">
        <v>0.0</v>
      </c>
      <c r="L5" s="10">
        <v>0.0</v>
      </c>
      <c r="M5" s="10">
        <v>0.0</v>
      </c>
      <c r="N5" s="11">
        <v>1.0</v>
      </c>
      <c r="O5" s="14"/>
      <c r="S5" s="15" t="s">
        <v>23</v>
      </c>
      <c r="T5" s="16">
        <v>1.0</v>
      </c>
      <c r="U5" s="16">
        <v>2.0</v>
      </c>
      <c r="V5" s="16">
        <v>3.0</v>
      </c>
      <c r="W5" s="16">
        <v>4.0</v>
      </c>
      <c r="X5" s="16">
        <v>5.0</v>
      </c>
      <c r="Y5" s="16">
        <v>6.0</v>
      </c>
      <c r="Z5" s="16">
        <v>7.0</v>
      </c>
    </row>
    <row r="6" ht="53.25" customHeight="1">
      <c r="A6" s="14"/>
      <c r="B6" s="14"/>
      <c r="C6" s="9" t="s">
        <v>24</v>
      </c>
      <c r="D6" s="10" t="s">
        <v>22</v>
      </c>
      <c r="E6" s="10" t="s">
        <v>19</v>
      </c>
      <c r="F6" s="10">
        <v>4.0</v>
      </c>
      <c r="G6" s="10">
        <v>4.0</v>
      </c>
      <c r="H6" s="10">
        <v>4.0</v>
      </c>
      <c r="I6" s="10">
        <v>0.0</v>
      </c>
      <c r="J6" s="10">
        <v>0.0</v>
      </c>
      <c r="K6" s="10">
        <v>0.0</v>
      </c>
      <c r="L6" s="10">
        <v>0.0</v>
      </c>
      <c r="M6" s="10">
        <v>0.0</v>
      </c>
      <c r="N6" s="11">
        <v>2.0</v>
      </c>
      <c r="O6" s="14"/>
      <c r="S6" s="17" t="s">
        <v>25</v>
      </c>
      <c r="T6" s="18">
        <f t="shared" ref="T6:Z6" si="1">G22</f>
        <v>39</v>
      </c>
      <c r="U6" s="18">
        <f t="shared" si="1"/>
        <v>31</v>
      </c>
      <c r="V6" s="18">
        <f t="shared" si="1"/>
        <v>27</v>
      </c>
      <c r="W6" s="18">
        <f t="shared" si="1"/>
        <v>21</v>
      </c>
      <c r="X6" s="18">
        <f t="shared" si="1"/>
        <v>21</v>
      </c>
      <c r="Y6" s="18">
        <f t="shared" si="1"/>
        <v>21</v>
      </c>
      <c r="Z6" s="18">
        <f t="shared" si="1"/>
        <v>0</v>
      </c>
    </row>
    <row r="7" ht="83.25" customHeight="1">
      <c r="A7" s="14"/>
      <c r="B7" s="14"/>
      <c r="C7" s="9" t="s">
        <v>26</v>
      </c>
      <c r="D7" s="10" t="s">
        <v>27</v>
      </c>
      <c r="E7" s="10" t="s">
        <v>19</v>
      </c>
      <c r="F7" s="10">
        <v>5.0</v>
      </c>
      <c r="G7" s="10">
        <v>5.0</v>
      </c>
      <c r="H7" s="10">
        <v>0.0</v>
      </c>
      <c r="I7" s="10">
        <v>0.0</v>
      </c>
      <c r="J7" s="10">
        <v>0.0</v>
      </c>
      <c r="K7" s="10">
        <v>0.0</v>
      </c>
      <c r="L7" s="10">
        <v>0.0</v>
      </c>
      <c r="M7" s="10">
        <v>0.0</v>
      </c>
      <c r="N7" s="11">
        <v>3.0</v>
      </c>
      <c r="O7" s="14"/>
      <c r="S7" s="19" t="s">
        <v>28</v>
      </c>
      <c r="T7" s="18">
        <f>O4-O4/7*1</f>
        <v>33.42857143</v>
      </c>
      <c r="U7" s="18">
        <f>O4-O4/7*2</f>
        <v>27.85714286</v>
      </c>
      <c r="V7" s="18">
        <f>O4-O4/7*3</f>
        <v>22.28571429</v>
      </c>
      <c r="W7" s="18">
        <f>O4-O4/7*4</f>
        <v>16.71428571</v>
      </c>
      <c r="X7" s="18">
        <f>O4-O4/7*5</f>
        <v>11.14285714</v>
      </c>
      <c r="Y7" s="18">
        <f>O4-O4/7*6</f>
        <v>5.571428571</v>
      </c>
      <c r="Z7" s="18">
        <f>O4-O4/7*7</f>
        <v>0</v>
      </c>
    </row>
    <row r="8" ht="53.25" customHeight="1">
      <c r="A8" s="14"/>
      <c r="B8" s="14"/>
      <c r="C8" s="9" t="s">
        <v>29</v>
      </c>
      <c r="D8" s="10" t="s">
        <v>30</v>
      </c>
      <c r="E8" s="10" t="s">
        <v>19</v>
      </c>
      <c r="F8" s="10">
        <v>2.0</v>
      </c>
      <c r="G8" s="10">
        <v>2.0</v>
      </c>
      <c r="H8" s="10">
        <v>2.0</v>
      </c>
      <c r="I8" s="10">
        <v>2.0</v>
      </c>
      <c r="J8" s="10">
        <v>0.0</v>
      </c>
      <c r="K8" s="10">
        <v>0.0</v>
      </c>
      <c r="L8" s="10">
        <v>0.0</v>
      </c>
      <c r="M8" s="10">
        <v>0.0</v>
      </c>
      <c r="N8" s="11">
        <v>6.0</v>
      </c>
      <c r="O8" s="14"/>
    </row>
    <row r="9" ht="53.25" customHeight="1">
      <c r="A9" s="14"/>
      <c r="B9" s="14"/>
      <c r="C9" s="9" t="s">
        <v>31</v>
      </c>
      <c r="D9" s="10" t="s">
        <v>30</v>
      </c>
      <c r="E9" s="10" t="s">
        <v>19</v>
      </c>
      <c r="F9" s="10">
        <v>2.0</v>
      </c>
      <c r="G9" s="10">
        <v>2.0</v>
      </c>
      <c r="H9" s="10">
        <v>2.0</v>
      </c>
      <c r="I9" s="10">
        <v>2.0</v>
      </c>
      <c r="J9" s="10">
        <v>0.0</v>
      </c>
      <c r="K9" s="10">
        <v>0.0</v>
      </c>
      <c r="L9" s="10">
        <v>0.0</v>
      </c>
      <c r="M9" s="10">
        <v>0.0</v>
      </c>
      <c r="N9" s="11">
        <v>2.0</v>
      </c>
      <c r="O9" s="14"/>
    </row>
    <row r="10" ht="53.25" customHeight="1">
      <c r="A10" s="14"/>
      <c r="B10" s="14"/>
      <c r="C10" s="9" t="s">
        <v>32</v>
      </c>
      <c r="D10" s="10" t="s">
        <v>33</v>
      </c>
      <c r="E10" s="10" t="s">
        <v>19</v>
      </c>
      <c r="F10" s="10">
        <v>2.0</v>
      </c>
      <c r="G10" s="10">
        <v>2.0</v>
      </c>
      <c r="H10" s="10">
        <v>2.0</v>
      </c>
      <c r="I10" s="10">
        <v>2.0</v>
      </c>
      <c r="J10" s="10">
        <v>2.0</v>
      </c>
      <c r="K10" s="10">
        <v>2.0</v>
      </c>
      <c r="L10" s="10">
        <v>2.0</v>
      </c>
      <c r="M10" s="10">
        <v>0.0</v>
      </c>
      <c r="N10" s="11">
        <v>1.0</v>
      </c>
      <c r="O10" s="14"/>
    </row>
    <row r="11" ht="53.25" customHeight="1">
      <c r="A11" s="14"/>
      <c r="B11" s="14"/>
      <c r="C11" s="9" t="s">
        <v>34</v>
      </c>
      <c r="D11" s="10" t="s">
        <v>35</v>
      </c>
      <c r="E11" s="10" t="s">
        <v>19</v>
      </c>
      <c r="F11" s="10">
        <v>2.0</v>
      </c>
      <c r="G11" s="10">
        <v>2.0</v>
      </c>
      <c r="H11" s="10">
        <v>2.0</v>
      </c>
      <c r="I11" s="10">
        <v>2.0</v>
      </c>
      <c r="J11" s="10">
        <v>2.0</v>
      </c>
      <c r="K11" s="10">
        <v>2.0</v>
      </c>
      <c r="L11" s="10">
        <v>2.0</v>
      </c>
      <c r="M11" s="10">
        <v>0.0</v>
      </c>
      <c r="N11" s="11">
        <v>1.0</v>
      </c>
      <c r="O11" s="14"/>
    </row>
    <row r="12" ht="99.75" customHeight="1">
      <c r="A12" s="14"/>
      <c r="B12" s="14"/>
      <c r="C12" s="9" t="s">
        <v>36</v>
      </c>
      <c r="D12" s="10" t="s">
        <v>22</v>
      </c>
      <c r="E12" s="10" t="s">
        <v>19</v>
      </c>
      <c r="F12" s="10">
        <v>1.0</v>
      </c>
      <c r="G12" s="10">
        <v>1.0</v>
      </c>
      <c r="H12" s="10">
        <v>1.0</v>
      </c>
      <c r="I12" s="10">
        <v>1.0</v>
      </c>
      <c r="J12" s="10">
        <v>1.0</v>
      </c>
      <c r="K12" s="10">
        <v>1.0</v>
      </c>
      <c r="L12" s="10">
        <v>1.0</v>
      </c>
      <c r="M12" s="10">
        <v>0.0</v>
      </c>
      <c r="N12" s="11">
        <v>1.0</v>
      </c>
      <c r="O12" s="14"/>
    </row>
    <row r="13" ht="99.75" customHeight="1">
      <c r="A13" s="20"/>
      <c r="B13" s="20"/>
      <c r="C13" s="9" t="s">
        <v>37</v>
      </c>
      <c r="D13" s="10" t="s">
        <v>22</v>
      </c>
      <c r="E13" s="10" t="s">
        <v>19</v>
      </c>
      <c r="F13" s="10">
        <v>2.0</v>
      </c>
      <c r="G13" s="10">
        <v>2.0</v>
      </c>
      <c r="H13" s="10">
        <v>2.0</v>
      </c>
      <c r="I13" s="10">
        <v>2.0</v>
      </c>
      <c r="J13" s="10">
        <v>2.0</v>
      </c>
      <c r="K13" s="10">
        <v>2.0</v>
      </c>
      <c r="L13" s="10">
        <v>2.0</v>
      </c>
      <c r="M13" s="10">
        <v>0.0</v>
      </c>
      <c r="N13" s="11">
        <v>1.0</v>
      </c>
      <c r="O13" s="14"/>
    </row>
    <row r="14" ht="69.0" customHeight="1">
      <c r="A14" s="8">
        <v>16.0</v>
      </c>
      <c r="B14" s="8" t="s">
        <v>38</v>
      </c>
      <c r="C14" s="21" t="s">
        <v>17</v>
      </c>
      <c r="D14" s="22" t="s">
        <v>18</v>
      </c>
      <c r="E14" s="23" t="s">
        <v>19</v>
      </c>
      <c r="F14" s="23">
        <v>1.0</v>
      </c>
      <c r="G14" s="23">
        <v>1.0</v>
      </c>
      <c r="H14" s="23">
        <v>0.0</v>
      </c>
      <c r="I14" s="23">
        <v>0.0</v>
      </c>
      <c r="J14" s="23">
        <v>0.0</v>
      </c>
      <c r="K14" s="23">
        <v>0.0</v>
      </c>
      <c r="L14" s="23">
        <v>0.0</v>
      </c>
      <c r="M14" s="23">
        <v>0.0</v>
      </c>
      <c r="N14" s="24">
        <v>1.0</v>
      </c>
      <c r="O14" s="14"/>
    </row>
    <row r="15" ht="69.0" customHeight="1">
      <c r="A15" s="14"/>
      <c r="B15" s="14"/>
      <c r="C15" s="9" t="s">
        <v>39</v>
      </c>
      <c r="D15" s="25" t="s">
        <v>33</v>
      </c>
      <c r="E15" s="10" t="s">
        <v>19</v>
      </c>
      <c r="F15" s="10">
        <v>2.0</v>
      </c>
      <c r="G15" s="10">
        <v>2.0</v>
      </c>
      <c r="H15" s="10">
        <v>2.0</v>
      </c>
      <c r="I15" s="10">
        <v>2.0</v>
      </c>
      <c r="J15" s="10">
        <v>0.0</v>
      </c>
      <c r="K15" s="10">
        <v>0.0</v>
      </c>
      <c r="L15" s="10">
        <v>0.0</v>
      </c>
      <c r="M15" s="10">
        <v>0.0</v>
      </c>
      <c r="N15" s="11">
        <v>2.0</v>
      </c>
      <c r="O15" s="14"/>
    </row>
    <row r="16" ht="72.0" customHeight="1">
      <c r="A16" s="14"/>
      <c r="B16" s="14"/>
      <c r="C16" s="9" t="s">
        <v>40</v>
      </c>
      <c r="D16" s="10" t="s">
        <v>41</v>
      </c>
      <c r="E16" s="10" t="s">
        <v>19</v>
      </c>
      <c r="F16" s="10">
        <v>5.0</v>
      </c>
      <c r="G16" s="10">
        <v>5.0</v>
      </c>
      <c r="H16" s="10">
        <v>5.0</v>
      </c>
      <c r="I16" s="10">
        <v>5.0</v>
      </c>
      <c r="J16" s="10">
        <v>5.0</v>
      </c>
      <c r="K16" s="10">
        <v>5.0</v>
      </c>
      <c r="L16" s="10">
        <v>5.0</v>
      </c>
      <c r="M16" s="10">
        <v>0.0</v>
      </c>
      <c r="N16" s="11">
        <v>8.0</v>
      </c>
      <c r="O16" s="14"/>
    </row>
    <row r="17" ht="58.5" customHeight="1">
      <c r="A17" s="14"/>
      <c r="B17" s="14"/>
      <c r="C17" s="9" t="s">
        <v>42</v>
      </c>
      <c r="D17" s="10" t="s">
        <v>27</v>
      </c>
      <c r="E17" s="10" t="s">
        <v>19</v>
      </c>
      <c r="F17" s="10">
        <v>3.0</v>
      </c>
      <c r="G17" s="10">
        <v>3.0</v>
      </c>
      <c r="H17" s="10">
        <v>3.0</v>
      </c>
      <c r="I17" s="10">
        <v>3.0</v>
      </c>
      <c r="J17" s="10">
        <v>3.0</v>
      </c>
      <c r="K17" s="10">
        <v>3.0</v>
      </c>
      <c r="L17" s="10">
        <v>3.0</v>
      </c>
      <c r="M17" s="10">
        <v>0.0</v>
      </c>
      <c r="N17" s="11">
        <v>4.0</v>
      </c>
      <c r="O17" s="14"/>
    </row>
    <row r="18" ht="75.0" customHeight="1">
      <c r="A18" s="14"/>
      <c r="B18" s="14"/>
      <c r="C18" s="9" t="s">
        <v>34</v>
      </c>
      <c r="D18" s="10" t="s">
        <v>35</v>
      </c>
      <c r="E18" s="10" t="s">
        <v>19</v>
      </c>
      <c r="F18" s="10">
        <v>2.0</v>
      </c>
      <c r="G18" s="10">
        <v>2.0</v>
      </c>
      <c r="H18" s="10">
        <v>2.0</v>
      </c>
      <c r="I18" s="10">
        <v>2.0</v>
      </c>
      <c r="J18" s="10">
        <v>2.0</v>
      </c>
      <c r="K18" s="10">
        <v>2.0</v>
      </c>
      <c r="L18" s="10">
        <v>2.0</v>
      </c>
      <c r="M18" s="10">
        <v>0.0</v>
      </c>
      <c r="N18" s="11">
        <v>1.0</v>
      </c>
      <c r="O18" s="14"/>
    </row>
    <row r="19" ht="75.0" customHeight="1">
      <c r="A19" s="14"/>
      <c r="B19" s="14"/>
      <c r="C19" s="9" t="s">
        <v>43</v>
      </c>
      <c r="D19" s="10" t="s">
        <v>27</v>
      </c>
      <c r="E19" s="10" t="s">
        <v>19</v>
      </c>
      <c r="F19" s="10">
        <v>1.0</v>
      </c>
      <c r="G19" s="26">
        <v>1.0</v>
      </c>
      <c r="H19" s="10">
        <v>1.0</v>
      </c>
      <c r="I19" s="10">
        <v>1.0</v>
      </c>
      <c r="J19" s="10">
        <v>1.0</v>
      </c>
      <c r="K19" s="10">
        <v>1.0</v>
      </c>
      <c r="L19" s="10">
        <v>1.0</v>
      </c>
      <c r="M19" s="10">
        <v>0.0</v>
      </c>
      <c r="N19" s="11">
        <v>1.0</v>
      </c>
      <c r="O19" s="14"/>
    </row>
    <row r="20" ht="75.0" customHeight="1">
      <c r="A20" s="14"/>
      <c r="B20" s="14"/>
      <c r="C20" s="9" t="s">
        <v>36</v>
      </c>
      <c r="D20" s="25" t="s">
        <v>44</v>
      </c>
      <c r="E20" s="10" t="s">
        <v>19</v>
      </c>
      <c r="F20" s="10">
        <v>1.0</v>
      </c>
      <c r="G20" s="10">
        <v>1.0</v>
      </c>
      <c r="H20" s="10">
        <v>1.0</v>
      </c>
      <c r="I20" s="10">
        <v>1.0</v>
      </c>
      <c r="J20" s="10">
        <v>1.0</v>
      </c>
      <c r="K20" s="10">
        <v>1.0</v>
      </c>
      <c r="L20" s="10">
        <v>1.0</v>
      </c>
      <c r="M20" s="10">
        <v>0.0</v>
      </c>
      <c r="N20" s="11">
        <v>3.0</v>
      </c>
      <c r="O20" s="14"/>
    </row>
    <row r="21" ht="75.0" customHeight="1">
      <c r="A21" s="14"/>
      <c r="B21" s="14"/>
      <c r="C21" s="9" t="s">
        <v>37</v>
      </c>
      <c r="D21" s="10" t="s">
        <v>45</v>
      </c>
      <c r="E21" s="10" t="s">
        <v>19</v>
      </c>
      <c r="F21" s="10">
        <v>2.0</v>
      </c>
      <c r="G21" s="10">
        <v>2.0</v>
      </c>
      <c r="H21" s="10">
        <v>2.0</v>
      </c>
      <c r="I21" s="10">
        <v>2.0</v>
      </c>
      <c r="J21" s="10">
        <v>2.0</v>
      </c>
      <c r="K21" s="10">
        <v>2.0</v>
      </c>
      <c r="L21" s="10">
        <v>2.0</v>
      </c>
      <c r="M21" s="10">
        <v>0.0</v>
      </c>
      <c r="N21" s="11">
        <v>2.0</v>
      </c>
      <c r="O21" s="14"/>
    </row>
    <row r="22" ht="75.0" customHeight="1">
      <c r="A22" s="20"/>
      <c r="B22" s="20"/>
      <c r="E22" s="27" t="s">
        <v>46</v>
      </c>
      <c r="F22" s="28">
        <f t="shared" ref="F22:N22" si="2">SUM(F4:F21)</f>
        <v>39</v>
      </c>
      <c r="G22" s="28">
        <f t="shared" si="2"/>
        <v>39</v>
      </c>
      <c r="H22" s="28">
        <f t="shared" si="2"/>
        <v>31</v>
      </c>
      <c r="I22" s="28">
        <f t="shared" si="2"/>
        <v>27</v>
      </c>
      <c r="J22" s="28">
        <f t="shared" si="2"/>
        <v>21</v>
      </c>
      <c r="K22" s="28">
        <f t="shared" si="2"/>
        <v>21</v>
      </c>
      <c r="L22" s="28">
        <f t="shared" si="2"/>
        <v>21</v>
      </c>
      <c r="M22" s="28">
        <f t="shared" si="2"/>
        <v>0</v>
      </c>
      <c r="N22" s="28">
        <f t="shared" si="2"/>
        <v>41</v>
      </c>
      <c r="O22" s="20"/>
    </row>
  </sheetData>
  <mergeCells count="7">
    <mergeCell ref="A1:M1"/>
    <mergeCell ref="S4:Z4"/>
    <mergeCell ref="A4:A13"/>
    <mergeCell ref="B4:B13"/>
    <mergeCell ref="A14:A22"/>
    <mergeCell ref="B14:B22"/>
    <mergeCell ref="O4:O22"/>
  </mergeCells>
  <dataValidations>
    <dataValidation type="list" allowBlank="1" showErrorMessage="1" sqref="D10:D13 D21">
      <formula1>"ทุกคน,วิธวินท์,เบญจพล,วงศ์ปกรณ์,อดิเทพ,พิรัชย์,กมลวรรณ"</formula1>
    </dataValidation>
    <dataValidation type="list" allowBlank="1" showErrorMessage="1" sqref="D4:D9 D14:D20">
      <formula1>"ทุกคน,วิธวินท์,เบญจพล,วงศ์ปกรณ์,อดิเทพ,พิรัชย์,กมลวรรณ"</formula1>
    </dataValidation>
    <dataValidation type="list" allowBlank="1" showErrorMessage="1" sqref="E4:E21">
      <formula1>"Completed,In-progress"</formula1>
    </dataValidation>
  </dataValidations>
  <drawing r:id="rId1"/>
</worksheet>
</file>